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de Produtos" sheetId="1" state="visible" r:id="rId1"/>
    <sheet name="Movimentações" sheetId="2" state="visible" r:id="rId2"/>
    <sheet name="Fornecedores" sheetId="3" state="visible" r:id="rId3"/>
    <sheet name="Lista de Compras" sheetId="4" state="visible" r:id="rId4"/>
    <sheet name="Dashboard" sheetId="5" state="visible" r:id="rId5"/>
  </sheets>
  <definedNames>
    <definedName name="_xlnm._FilterDatabase" localSheetId="0" hidden="1">'Estoque de Produtos'!$A$3:$M$23</definedName>
    <definedName name="_xlnm._FilterDatabase" localSheetId="1" hidden="1">'Movimentações'!$A$3:$I$3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D4638F"/>
      <sz val="16"/>
    </font>
    <font>
      <name val="Calibri"/>
      <b val="1"/>
      <color rgb="00FFFFFF"/>
      <sz val="11"/>
    </font>
    <font>
      <name val="Calibri"/>
      <b val="1"/>
      <color rgb="00D4638F"/>
      <sz val="12"/>
    </font>
    <font>
      <name val="Calibri"/>
      <b val="1"/>
      <sz val="11"/>
    </font>
    <font>
      <name val="Calibri"/>
      <b val="1"/>
      <color rgb="00D4638F"/>
      <sz val="14"/>
    </font>
  </fonts>
  <fills count="4">
    <fill>
      <patternFill/>
    </fill>
    <fill>
      <patternFill patternType="gray125"/>
    </fill>
    <fill>
      <patternFill patternType="solid">
        <fgColor rgb="00D4638F"/>
        <bgColor rgb="00D4638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>
          <bgColor rgb="00FF9999"/>
        </patternFill>
      </fill>
    </dxf>
    <dxf>
      <fill>
        <patternFill>
          <bgColor rgb="00FFFF99"/>
        </patternFill>
      </fill>
    </dxf>
    <dxf>
      <fill>
        <patternFill>
          <bgColor rgb="0099FF99"/>
        </patternFill>
      </fill>
    </dxf>
    <dxf>
      <fill>
        <patternFill>
          <bgColor rgb="00C6EF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638F"/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</cols>
  <sheetData>
    <row r="1" ht="40" customHeight="1">
      <c r="A1" s="1" t="inlineStr">
        <is>
          <t>CONTROLE DE ESTOQUE — SALÃO DE BELEZA</t>
        </is>
      </c>
    </row>
    <row r="3">
      <c r="A3" s="2" t="inlineStr">
        <is>
          <t>Código</t>
        </is>
      </c>
      <c r="B3" s="2" t="inlineStr">
        <is>
          <t>Produto</t>
        </is>
      </c>
      <c r="C3" s="2" t="inlineStr">
        <is>
          <t>Categoria</t>
        </is>
      </c>
      <c r="D3" s="2" t="inlineStr">
        <is>
          <t>Marca</t>
        </is>
      </c>
      <c r="E3" s="2" t="inlineStr">
        <is>
          <t>Unidade</t>
        </is>
      </c>
      <c r="F3" s="2" t="inlineStr">
        <is>
          <t>Qtd. Atual</t>
        </is>
      </c>
      <c r="G3" s="2" t="inlineStr">
        <is>
          <t>Qtd. Mínima</t>
        </is>
      </c>
      <c r="H3" s="2" t="inlineStr">
        <is>
          <t>Status</t>
        </is>
      </c>
      <c r="I3" s="2" t="inlineStr">
        <is>
          <t>Preço Custo (R$)</t>
        </is>
      </c>
      <c r="J3" s="2" t="inlineStr">
        <is>
          <t>Preço Venda (R$)</t>
        </is>
      </c>
      <c r="K3" s="2" t="inlineStr">
        <is>
          <t>Fornecedor</t>
        </is>
      </c>
      <c r="L3" s="2" t="inlineStr">
        <is>
          <t>Validade</t>
        </is>
      </c>
      <c r="M3" s="2" t="inlineStr">
        <is>
          <t>Localização</t>
        </is>
      </c>
    </row>
    <row r="4">
      <c r="A4" s="3" t="inlineStr">
        <is>
          <t>P001</t>
        </is>
      </c>
      <c r="B4" s="3" t="inlineStr">
        <is>
          <t>Shampoo Profissional 1L</t>
        </is>
      </c>
      <c r="C4" s="3" t="inlineStr">
        <is>
          <t>Cabelo</t>
        </is>
      </c>
      <c r="D4" s="3" t="inlineStr">
        <is>
          <t>L'Oréal</t>
        </is>
      </c>
      <c r="E4" s="3" t="inlineStr">
        <is>
          <t>un</t>
        </is>
      </c>
      <c r="F4" s="3" t="n">
        <v>15</v>
      </c>
      <c r="G4" s="3" t="n">
        <v>5</v>
      </c>
      <c r="H4" s="3">
        <f>IF(F4&lt;=G4,"⚠ REPOR",IF(F4&lt;=G4*1.5,"ATENÇÃO","OK"))</f>
        <v/>
      </c>
      <c r="I4" s="4" t="n">
        <v>32</v>
      </c>
      <c r="J4" s="4" t="n">
        <v>65</v>
      </c>
      <c r="K4" s="3" t="inlineStr">
        <is>
          <t>Dist. Beauty</t>
        </is>
      </c>
      <c r="L4" s="3" t="inlineStr">
        <is>
          <t>2027-03-01</t>
        </is>
      </c>
      <c r="M4" s="3" t="inlineStr">
        <is>
          <t>Prateleira A1</t>
        </is>
      </c>
    </row>
    <row r="5">
      <c r="A5" s="5" t="inlineStr">
        <is>
          <t>P002</t>
        </is>
      </c>
      <c r="B5" s="5" t="inlineStr">
        <is>
          <t>Condicionador Profissional 1L</t>
        </is>
      </c>
      <c r="C5" s="5" t="inlineStr">
        <is>
          <t>Cabelo</t>
        </is>
      </c>
      <c r="D5" s="5" t="inlineStr">
        <is>
          <t>L'Oréal</t>
        </is>
      </c>
      <c r="E5" s="5" t="inlineStr">
        <is>
          <t>un</t>
        </is>
      </c>
      <c r="F5" s="5" t="n">
        <v>12</v>
      </c>
      <c r="G5" s="5" t="n">
        <v>5</v>
      </c>
      <c r="H5" s="5">
        <f>IF(F5&lt;=G5,"⚠ REPOR",IF(F5&lt;=G5*1.5,"ATENÇÃO","OK"))</f>
        <v/>
      </c>
      <c r="I5" s="6" t="n">
        <v>35</v>
      </c>
      <c r="J5" s="6" t="n">
        <v>70</v>
      </c>
      <c r="K5" s="5" t="inlineStr">
        <is>
          <t>Dist. Beauty</t>
        </is>
      </c>
      <c r="L5" s="5" t="inlineStr">
        <is>
          <t>2027-03-01</t>
        </is>
      </c>
      <c r="M5" s="5" t="inlineStr">
        <is>
          <t>Prateleira A1</t>
        </is>
      </c>
    </row>
    <row r="6">
      <c r="A6" s="3" t="inlineStr">
        <is>
          <t>P003</t>
        </is>
      </c>
      <c r="B6" s="3" t="inlineStr">
        <is>
          <t>Máscara de Hidratação 500g</t>
        </is>
      </c>
      <c r="C6" s="3" t="inlineStr">
        <is>
          <t>Cabelo</t>
        </is>
      </c>
      <c r="D6" s="3" t="inlineStr">
        <is>
          <t>Kerastase</t>
        </is>
      </c>
      <c r="E6" s="3" t="inlineStr">
        <is>
          <t>un</t>
        </is>
      </c>
      <c r="F6" s="3" t="n">
        <v>8</v>
      </c>
      <c r="G6" s="3" t="n">
        <v>3</v>
      </c>
      <c r="H6" s="3">
        <f>IF(F6&lt;=G6,"⚠ REPOR",IF(F6&lt;=G6*1.5,"ATENÇÃO","OK"))</f>
        <v/>
      </c>
      <c r="I6" s="4" t="n">
        <v>55</v>
      </c>
      <c r="J6" s="4" t="n">
        <v>120</v>
      </c>
      <c r="K6" s="3" t="inlineStr">
        <is>
          <t>Dist. Beauty</t>
        </is>
      </c>
      <c r="L6" s="3" t="inlineStr">
        <is>
          <t>2027-06-01</t>
        </is>
      </c>
      <c r="M6" s="3" t="inlineStr">
        <is>
          <t>Prateleira A2</t>
        </is>
      </c>
    </row>
    <row r="7">
      <c r="A7" s="5" t="inlineStr">
        <is>
          <t>P004</t>
        </is>
      </c>
      <c r="B7" s="5" t="inlineStr">
        <is>
          <t>Tintura Creme (diversas cores)</t>
        </is>
      </c>
      <c r="C7" s="5" t="inlineStr">
        <is>
          <t>Cabelo</t>
        </is>
      </c>
      <c r="D7" s="5" t="inlineStr">
        <is>
          <t>Wella</t>
        </is>
      </c>
      <c r="E7" s="5" t="inlineStr">
        <is>
          <t>un</t>
        </is>
      </c>
      <c r="F7" s="5" t="n">
        <v>40</v>
      </c>
      <c r="G7" s="5" t="n">
        <v>15</v>
      </c>
      <c r="H7" s="5">
        <f>IF(F7&lt;=G7,"⚠ REPOR",IF(F7&lt;=G7*1.5,"ATENÇÃO","OK"))</f>
        <v/>
      </c>
      <c r="I7" s="6" t="n">
        <v>18</v>
      </c>
      <c r="J7" s="6" t="n">
        <v>45</v>
      </c>
      <c r="K7" s="5" t="inlineStr">
        <is>
          <t>Color Supply</t>
        </is>
      </c>
      <c r="L7" s="5" t="inlineStr">
        <is>
          <t>2027-12-01</t>
        </is>
      </c>
      <c r="M7" s="5" t="inlineStr">
        <is>
          <t>Armário B1</t>
        </is>
      </c>
    </row>
    <row r="8">
      <c r="A8" s="3" t="inlineStr">
        <is>
          <t>P005</t>
        </is>
      </c>
      <c r="B8" s="3" t="inlineStr">
        <is>
          <t>Água Oxigenada 20 vol. 1L</t>
        </is>
      </c>
      <c r="C8" s="3" t="inlineStr">
        <is>
          <t>Cabelo</t>
        </is>
      </c>
      <c r="D8" s="3" t="inlineStr">
        <is>
          <t>Wella</t>
        </is>
      </c>
      <c r="E8" s="3" t="inlineStr">
        <is>
          <t>un</t>
        </is>
      </c>
      <c r="F8" s="3" t="n">
        <v>10</v>
      </c>
      <c r="G8" s="3" t="n">
        <v>5</v>
      </c>
      <c r="H8" s="3">
        <f>IF(F8&lt;=G8,"⚠ REPOR",IF(F8&lt;=G8*1.5,"ATENÇÃO","OK"))</f>
        <v/>
      </c>
      <c r="I8" s="4" t="n">
        <v>12</v>
      </c>
      <c r="J8" s="4" t="n">
        <v>28</v>
      </c>
      <c r="K8" s="3" t="inlineStr">
        <is>
          <t>Color Supply</t>
        </is>
      </c>
      <c r="L8" s="3" t="inlineStr">
        <is>
          <t>2027-09-01</t>
        </is>
      </c>
      <c r="M8" s="3" t="inlineStr">
        <is>
          <t>Armário B1</t>
        </is>
      </c>
    </row>
    <row r="9">
      <c r="A9" s="5" t="inlineStr">
        <is>
          <t>P006</t>
        </is>
      </c>
      <c r="B9" s="5" t="inlineStr">
        <is>
          <t>Pó Descolorante 500g</t>
        </is>
      </c>
      <c r="C9" s="5" t="inlineStr">
        <is>
          <t>Cabelo</t>
        </is>
      </c>
      <c r="D9" s="5" t="inlineStr">
        <is>
          <t>Alfaparf</t>
        </is>
      </c>
      <c r="E9" s="5" t="inlineStr">
        <is>
          <t>un</t>
        </is>
      </c>
      <c r="F9" s="5" t="n">
        <v>6</v>
      </c>
      <c r="G9" s="5" t="n">
        <v>3</v>
      </c>
      <c r="H9" s="5">
        <f>IF(F9&lt;=G9,"⚠ REPOR",IF(F9&lt;=G9*1.5,"ATENÇÃO","OK"))</f>
        <v/>
      </c>
      <c r="I9" s="6" t="n">
        <v>40</v>
      </c>
      <c r="J9" s="6" t="n">
        <v>85</v>
      </c>
      <c r="K9" s="5" t="inlineStr">
        <is>
          <t>Color Supply</t>
        </is>
      </c>
      <c r="L9" s="5" t="inlineStr">
        <is>
          <t>2027-08-01</t>
        </is>
      </c>
      <c r="M9" s="5" t="inlineStr">
        <is>
          <t>Armário B2</t>
        </is>
      </c>
    </row>
    <row r="10">
      <c r="A10" s="3" t="inlineStr">
        <is>
          <t>P007</t>
        </is>
      </c>
      <c r="B10" s="3" t="inlineStr">
        <is>
          <t>Óleo Reparador 100ml</t>
        </is>
      </c>
      <c r="C10" s="3" t="inlineStr">
        <is>
          <t>Cabelo</t>
        </is>
      </c>
      <c r="D10" s="3" t="inlineStr">
        <is>
          <t>Moroccanoil</t>
        </is>
      </c>
      <c r="E10" s="3" t="inlineStr">
        <is>
          <t>un</t>
        </is>
      </c>
      <c r="F10" s="3" t="n">
        <v>10</v>
      </c>
      <c r="G10" s="3" t="n">
        <v>4</v>
      </c>
      <c r="H10" s="3">
        <f>IF(F10&lt;=G10,"⚠ REPOR",IF(F10&lt;=G10*1.5,"ATENÇÃO","OK"))</f>
        <v/>
      </c>
      <c r="I10" s="4" t="n">
        <v>65</v>
      </c>
      <c r="J10" s="4" t="n">
        <v>140</v>
      </c>
      <c r="K10" s="3" t="inlineStr">
        <is>
          <t>Dist. Beauty</t>
        </is>
      </c>
      <c r="L10" s="3" t="inlineStr">
        <is>
          <t>2028-01-01</t>
        </is>
      </c>
      <c r="M10" s="3" t="inlineStr">
        <is>
          <t>Prateleira A2</t>
        </is>
      </c>
    </row>
    <row r="11">
      <c r="A11" s="5" t="inlineStr">
        <is>
          <t>P008</t>
        </is>
      </c>
      <c r="B11" s="5" t="inlineStr">
        <is>
          <t>Spray Fixador 400ml</t>
        </is>
      </c>
      <c r="C11" s="5" t="inlineStr">
        <is>
          <t>Cabelo</t>
        </is>
      </c>
      <c r="D11" s="5" t="inlineStr">
        <is>
          <t>Kérastase</t>
        </is>
      </c>
      <c r="E11" s="5" t="inlineStr">
        <is>
          <t>un</t>
        </is>
      </c>
      <c r="F11" s="5" t="n">
        <v>7</v>
      </c>
      <c r="G11" s="5" t="n">
        <v>3</v>
      </c>
      <c r="H11" s="5">
        <f>IF(F11&lt;=G11,"⚠ REPOR",IF(F11&lt;=G11*1.5,"ATENÇÃO","OK"))</f>
        <v/>
      </c>
      <c r="I11" s="6" t="n">
        <v>42</v>
      </c>
      <c r="J11" s="6" t="n">
        <v>90</v>
      </c>
      <c r="K11" s="5" t="inlineStr">
        <is>
          <t>Dist. Beauty</t>
        </is>
      </c>
      <c r="L11" s="5" t="inlineStr">
        <is>
          <t>2027-10-01</t>
        </is>
      </c>
      <c r="M11" s="5" t="inlineStr">
        <is>
          <t>Prateleira A3</t>
        </is>
      </c>
    </row>
    <row r="12">
      <c r="A12" s="3" t="inlineStr">
        <is>
          <t>P009</t>
        </is>
      </c>
      <c r="B12" s="3" t="inlineStr">
        <is>
          <t>Esmalte (diversas cores)</t>
        </is>
      </c>
      <c r="C12" s="3" t="inlineStr">
        <is>
          <t>Unha</t>
        </is>
      </c>
      <c r="D12" s="3" t="inlineStr">
        <is>
          <t>Risqué</t>
        </is>
      </c>
      <c r="E12" s="3" t="inlineStr">
        <is>
          <t>un</t>
        </is>
      </c>
      <c r="F12" s="3" t="n">
        <v>50</v>
      </c>
      <c r="G12" s="3" t="n">
        <v>20</v>
      </c>
      <c r="H12" s="3">
        <f>IF(F12&lt;=G12,"⚠ REPOR",IF(F12&lt;=G12*1.5,"ATENÇÃO","OK"))</f>
        <v/>
      </c>
      <c r="I12" s="4" t="n">
        <v>4.5</v>
      </c>
      <c r="J12" s="4" t="n">
        <v>12</v>
      </c>
      <c r="K12" s="3" t="inlineStr">
        <is>
          <t>Beleza Total</t>
        </is>
      </c>
      <c r="L12" s="3" t="inlineStr">
        <is>
          <t>2028-06-01</t>
        </is>
      </c>
      <c r="M12" s="3" t="inlineStr">
        <is>
          <t>Gaveta C1</t>
        </is>
      </c>
    </row>
    <row r="13">
      <c r="A13" s="5" t="inlineStr">
        <is>
          <t>P010</t>
        </is>
      </c>
      <c r="B13" s="5" t="inlineStr">
        <is>
          <t>Base Fortalecedora</t>
        </is>
      </c>
      <c r="C13" s="5" t="inlineStr">
        <is>
          <t>Unha</t>
        </is>
      </c>
      <c r="D13" s="5" t="inlineStr">
        <is>
          <t>Risqué</t>
        </is>
      </c>
      <c r="E13" s="5" t="inlineStr">
        <is>
          <t>un</t>
        </is>
      </c>
      <c r="F13" s="5" t="n">
        <v>10</v>
      </c>
      <c r="G13" s="5" t="n">
        <v>5</v>
      </c>
      <c r="H13" s="5">
        <f>IF(F13&lt;=G13,"⚠ REPOR",IF(F13&lt;=G13*1.5,"ATENÇÃO","OK"))</f>
        <v/>
      </c>
      <c r="I13" s="6" t="n">
        <v>5</v>
      </c>
      <c r="J13" s="6" t="n">
        <v>14</v>
      </c>
      <c r="K13" s="5" t="inlineStr">
        <is>
          <t>Beleza Total</t>
        </is>
      </c>
      <c r="L13" s="5" t="inlineStr">
        <is>
          <t>2028-06-01</t>
        </is>
      </c>
      <c r="M13" s="5" t="inlineStr">
        <is>
          <t>Gaveta C1</t>
        </is>
      </c>
    </row>
    <row r="14">
      <c r="A14" s="3" t="inlineStr">
        <is>
          <t>P011</t>
        </is>
      </c>
      <c r="B14" s="3" t="inlineStr">
        <is>
          <t>Removedor de Esmalte 500ml</t>
        </is>
      </c>
      <c r="C14" s="3" t="inlineStr">
        <is>
          <t>Unha</t>
        </is>
      </c>
      <c r="D14" s="3" t="inlineStr">
        <is>
          <t>Farmax</t>
        </is>
      </c>
      <c r="E14" s="3" t="inlineStr">
        <is>
          <t>un</t>
        </is>
      </c>
      <c r="F14" s="3" t="n">
        <v>8</v>
      </c>
      <c r="G14" s="3" t="n">
        <v>3</v>
      </c>
      <c r="H14" s="3">
        <f>IF(F14&lt;=G14,"⚠ REPOR",IF(F14&lt;=G14*1.5,"ATENÇÃO","OK"))</f>
        <v/>
      </c>
      <c r="I14" s="4" t="n">
        <v>8</v>
      </c>
      <c r="J14" s="4" t="n">
        <v>18</v>
      </c>
      <c r="K14" s="3" t="inlineStr">
        <is>
          <t>Beleza Total</t>
        </is>
      </c>
      <c r="L14" s="3" t="inlineStr">
        <is>
          <t>2028-01-01</t>
        </is>
      </c>
      <c r="M14" s="3" t="inlineStr">
        <is>
          <t>Gaveta C2</t>
        </is>
      </c>
    </row>
    <row r="15">
      <c r="A15" s="5" t="inlineStr">
        <is>
          <t>P012</t>
        </is>
      </c>
      <c r="B15" s="5" t="inlineStr">
        <is>
          <t>Acetona 1L</t>
        </is>
      </c>
      <c r="C15" s="5" t="inlineStr">
        <is>
          <t>Unha</t>
        </is>
      </c>
      <c r="D15" s="5" t="inlineStr">
        <is>
          <t>Farmax</t>
        </is>
      </c>
      <c r="E15" s="5" t="inlineStr">
        <is>
          <t>un</t>
        </is>
      </c>
      <c r="F15" s="5" t="n">
        <v>5</v>
      </c>
      <c r="G15" s="5" t="n">
        <v>2</v>
      </c>
      <c r="H15" s="5">
        <f>IF(F15&lt;=G15,"⚠ REPOR",IF(F15&lt;=G15*1.5,"ATENÇÃO","OK"))</f>
        <v/>
      </c>
      <c r="I15" s="6" t="n">
        <v>10</v>
      </c>
      <c r="J15" s="6" t="n">
        <v>22</v>
      </c>
      <c r="K15" s="5" t="inlineStr">
        <is>
          <t>Beleza Total</t>
        </is>
      </c>
      <c r="L15" s="5" t="inlineStr">
        <is>
          <t>2028-03-01</t>
        </is>
      </c>
      <c r="M15" s="5" t="inlineStr">
        <is>
          <t>Gaveta C2</t>
        </is>
      </c>
    </row>
    <row r="16">
      <c r="A16" s="3" t="inlineStr">
        <is>
          <t>P013</t>
        </is>
      </c>
      <c r="B16" s="3" t="inlineStr">
        <is>
          <t>Creme Hidratante Corporal 1L</t>
        </is>
      </c>
      <c r="C16" s="3" t="inlineStr">
        <is>
          <t>Pele/Estética</t>
        </is>
      </c>
      <c r="D16" s="3" t="inlineStr">
        <is>
          <t>Nivea</t>
        </is>
      </c>
      <c r="E16" s="3" t="inlineStr">
        <is>
          <t>un</t>
        </is>
      </c>
      <c r="F16" s="3" t="n">
        <v>6</v>
      </c>
      <c r="G16" s="3" t="n">
        <v>3</v>
      </c>
      <c r="H16" s="3">
        <f>IF(F16&lt;=G16,"⚠ REPOR",IF(F16&lt;=G16*1.5,"ATENÇÃO","OK"))</f>
        <v/>
      </c>
      <c r="I16" s="4" t="n">
        <v>25</v>
      </c>
      <c r="J16" s="4" t="n">
        <v>55</v>
      </c>
      <c r="K16" s="3" t="inlineStr">
        <is>
          <t>Dist. Beauty</t>
        </is>
      </c>
      <c r="L16" s="3" t="inlineStr">
        <is>
          <t>2027-11-01</t>
        </is>
      </c>
      <c r="M16" s="3" t="inlineStr">
        <is>
          <t>Prateleira D1</t>
        </is>
      </c>
    </row>
    <row r="17">
      <c r="A17" s="5" t="inlineStr">
        <is>
          <t>P014</t>
        </is>
      </c>
      <c r="B17" s="5" t="inlineStr">
        <is>
          <t>Protetor Solar FPS 50 200ml</t>
        </is>
      </c>
      <c r="C17" s="5" t="inlineStr">
        <is>
          <t>Pele/Estética</t>
        </is>
      </c>
      <c r="D17" s="5" t="inlineStr">
        <is>
          <t>La Roche</t>
        </is>
      </c>
      <c r="E17" s="5" t="inlineStr">
        <is>
          <t>un</t>
        </is>
      </c>
      <c r="F17" s="5" t="n">
        <v>5</v>
      </c>
      <c r="G17" s="5" t="n">
        <v>2</v>
      </c>
      <c r="H17" s="5">
        <f>IF(F17&lt;=G17,"⚠ REPOR",IF(F17&lt;=G17*1.5,"ATENÇÃO","OK"))</f>
        <v/>
      </c>
      <c r="I17" s="6" t="n">
        <v>45</v>
      </c>
      <c r="J17" s="6" t="n">
        <v>95</v>
      </c>
      <c r="K17" s="5" t="inlineStr">
        <is>
          <t>Dist. Beauty</t>
        </is>
      </c>
      <c r="L17" s="5" t="inlineStr">
        <is>
          <t>2027-07-01</t>
        </is>
      </c>
      <c r="M17" s="5" t="inlineStr">
        <is>
          <t>Prateleira D1</t>
        </is>
      </c>
    </row>
    <row r="18">
      <c r="A18" s="3" t="inlineStr">
        <is>
          <t>P015</t>
        </is>
      </c>
      <c r="B18" s="3" t="inlineStr">
        <is>
          <t>Cera Depilatória 1kg</t>
        </is>
      </c>
      <c r="C18" s="3" t="inlineStr">
        <is>
          <t>Pele/Estética</t>
        </is>
      </c>
      <c r="D18" s="3" t="inlineStr">
        <is>
          <t>Depil Bella</t>
        </is>
      </c>
      <c r="E18" s="3" t="inlineStr">
        <is>
          <t>un</t>
        </is>
      </c>
      <c r="F18" s="3" t="n">
        <v>4</v>
      </c>
      <c r="G18" s="3" t="n">
        <v>2</v>
      </c>
      <c r="H18" s="3">
        <f>IF(F18&lt;=G18,"⚠ REPOR",IF(F18&lt;=G18*1.5,"ATENÇÃO","OK"))</f>
        <v/>
      </c>
      <c r="I18" s="4" t="n">
        <v>30</v>
      </c>
      <c r="J18" s="4" t="n">
        <v>65</v>
      </c>
      <c r="K18" s="3" t="inlineStr">
        <is>
          <t>Estética Plus</t>
        </is>
      </c>
      <c r="L18" s="3" t="inlineStr">
        <is>
          <t>2027-12-01</t>
        </is>
      </c>
      <c r="M18" s="3" t="inlineStr">
        <is>
          <t>Armário E1</t>
        </is>
      </c>
    </row>
    <row r="19">
      <c r="A19" s="5" t="inlineStr">
        <is>
          <t>P016</t>
        </is>
      </c>
      <c r="B19" s="5" t="inlineStr">
        <is>
          <t>Luvas Descartáveis (cx 100)</t>
        </is>
      </c>
      <c r="C19" s="5" t="inlineStr">
        <is>
          <t>Descartáveis</t>
        </is>
      </c>
      <c r="D19" s="5" t="inlineStr">
        <is>
          <t>Descarpack</t>
        </is>
      </c>
      <c r="E19" s="5" t="inlineStr">
        <is>
          <t>cx</t>
        </is>
      </c>
      <c r="F19" s="5" t="n">
        <v>8</v>
      </c>
      <c r="G19" s="5" t="n">
        <v>3</v>
      </c>
      <c r="H19" s="5">
        <f>IF(F19&lt;=G19,"⚠ REPOR",IF(F19&lt;=G19*1.5,"ATENÇÃO","OK"))</f>
        <v/>
      </c>
      <c r="I19" s="6" t="n">
        <v>28</v>
      </c>
      <c r="J19" s="6" t="n">
        <v>0</v>
      </c>
      <c r="K19" s="5" t="inlineStr">
        <is>
          <t>Higiene Pro</t>
        </is>
      </c>
      <c r="L19" s="5" t="inlineStr">
        <is>
          <t>2028-12-01</t>
        </is>
      </c>
      <c r="M19" s="5" t="inlineStr">
        <is>
          <t>Armário F1</t>
        </is>
      </c>
    </row>
    <row r="20">
      <c r="A20" s="3" t="inlineStr">
        <is>
          <t>P017</t>
        </is>
      </c>
      <c r="B20" s="3" t="inlineStr">
        <is>
          <t>Touca Descartável (pct 100)</t>
        </is>
      </c>
      <c r="C20" s="3" t="inlineStr">
        <is>
          <t>Descartáveis</t>
        </is>
      </c>
      <c r="D20" s="3" t="inlineStr">
        <is>
          <t>Descarpack</t>
        </is>
      </c>
      <c r="E20" s="3" t="inlineStr">
        <is>
          <t>pct</t>
        </is>
      </c>
      <c r="F20" s="3" t="n">
        <v>5</v>
      </c>
      <c r="G20" s="3" t="n">
        <v>2</v>
      </c>
      <c r="H20" s="3">
        <f>IF(F20&lt;=G20,"⚠ REPOR",IF(F20&lt;=G20*1.5,"ATENÇÃO","OK"))</f>
        <v/>
      </c>
      <c r="I20" s="4" t="n">
        <v>15</v>
      </c>
      <c r="J20" s="4" t="n">
        <v>0</v>
      </c>
      <c r="K20" s="3" t="inlineStr">
        <is>
          <t>Higiene Pro</t>
        </is>
      </c>
      <c r="L20" s="3" t="inlineStr">
        <is>
          <t>2028-12-01</t>
        </is>
      </c>
      <c r="M20" s="3" t="inlineStr">
        <is>
          <t>Armário F1</t>
        </is>
      </c>
    </row>
    <row r="21">
      <c r="A21" s="5" t="inlineStr">
        <is>
          <t>P018</t>
        </is>
      </c>
      <c r="B21" s="5" t="inlineStr">
        <is>
          <t>Papel Alumínio (rolo 100m)</t>
        </is>
      </c>
      <c r="C21" s="5" t="inlineStr">
        <is>
          <t>Descartáveis</t>
        </is>
      </c>
      <c r="D21" s="5" t="inlineStr">
        <is>
          <t>Wyda</t>
        </is>
      </c>
      <c r="E21" s="5" t="inlineStr">
        <is>
          <t>rolo</t>
        </is>
      </c>
      <c r="F21" s="5" t="n">
        <v>6</v>
      </c>
      <c r="G21" s="5" t="n">
        <v>3</v>
      </c>
      <c r="H21" s="5">
        <f>IF(F21&lt;=G21,"⚠ REPOR",IF(F21&lt;=G21*1.5,"ATENÇÃO","OK"))</f>
        <v/>
      </c>
      <c r="I21" s="6" t="n">
        <v>22</v>
      </c>
      <c r="J21" s="6" t="n">
        <v>0</v>
      </c>
      <c r="K21" s="5" t="inlineStr">
        <is>
          <t>Higiene Pro</t>
        </is>
      </c>
      <c r="L21" s="5" t="inlineStr">
        <is>
          <t>—</t>
        </is>
      </c>
      <c r="M21" s="5" t="inlineStr">
        <is>
          <t>Armário F2</t>
        </is>
      </c>
    </row>
    <row r="22">
      <c r="A22" s="3" t="inlineStr">
        <is>
          <t>P019</t>
        </is>
      </c>
      <c r="B22" s="3" t="inlineStr">
        <is>
          <t>Algodão 500g</t>
        </is>
      </c>
      <c r="C22" s="3" t="inlineStr">
        <is>
          <t>Descartáveis</t>
        </is>
      </c>
      <c r="D22" s="3" t="inlineStr">
        <is>
          <t>Apolo</t>
        </is>
      </c>
      <c r="E22" s="3" t="inlineStr">
        <is>
          <t>pct</t>
        </is>
      </c>
      <c r="F22" s="3" t="n">
        <v>10</v>
      </c>
      <c r="G22" s="3" t="n">
        <v>4</v>
      </c>
      <c r="H22" s="3">
        <f>IF(F22&lt;=G22,"⚠ REPOR",IF(F22&lt;=G22*1.5,"ATENÇÃO","OK"))</f>
        <v/>
      </c>
      <c r="I22" s="4" t="n">
        <v>12</v>
      </c>
      <c r="J22" s="4" t="n">
        <v>0</v>
      </c>
      <c r="K22" s="3" t="inlineStr">
        <is>
          <t>Higiene Pro</t>
        </is>
      </c>
      <c r="L22" s="3" t="inlineStr">
        <is>
          <t>—</t>
        </is>
      </c>
      <c r="M22" s="3" t="inlineStr">
        <is>
          <t>Armário F2</t>
        </is>
      </c>
    </row>
    <row r="23">
      <c r="A23" s="5" t="inlineStr">
        <is>
          <t>P020</t>
        </is>
      </c>
      <c r="B23" s="5" t="inlineStr">
        <is>
          <t>Lixa de Unha (pct 50)</t>
        </is>
      </c>
      <c r="C23" s="5" t="inlineStr">
        <is>
          <t>Descartáveis</t>
        </is>
      </c>
      <c r="D23" s="5" t="inlineStr">
        <is>
          <t>Marco Boni</t>
        </is>
      </c>
      <c r="E23" s="5" t="inlineStr">
        <is>
          <t>pct</t>
        </is>
      </c>
      <c r="F23" s="5" t="n">
        <v>4</v>
      </c>
      <c r="G23" s="5" t="n">
        <v>2</v>
      </c>
      <c r="H23" s="5">
        <f>IF(F23&lt;=G23,"⚠ REPOR",IF(F23&lt;=G23*1.5,"ATENÇÃO","OK"))</f>
        <v/>
      </c>
      <c r="I23" s="6" t="n">
        <v>18</v>
      </c>
      <c r="J23" s="6" t="n">
        <v>0</v>
      </c>
      <c r="K23" s="5" t="inlineStr">
        <is>
          <t>Beleza Total</t>
        </is>
      </c>
      <c r="L23" s="5" t="inlineStr">
        <is>
          <t>—</t>
        </is>
      </c>
      <c r="M23" s="5" t="inlineStr">
        <is>
          <t>Gaveta C3</t>
        </is>
      </c>
    </row>
    <row r="25">
      <c r="A25" s="7" t="inlineStr">
        <is>
          <t>RESUMO</t>
        </is>
      </c>
    </row>
    <row r="26">
      <c r="A26" t="inlineStr">
        <is>
          <t>Total de Itens Cadastrados:</t>
        </is>
      </c>
      <c r="B26">
        <f>COUNTA(A4:A23)</f>
        <v/>
      </c>
    </row>
    <row r="27">
      <c r="A27" t="inlineStr">
        <is>
          <t>Itens para Repor:</t>
        </is>
      </c>
      <c r="B27">
        <f>COUNTIF(H4:H23,"⚠ REPOR")</f>
        <v/>
      </c>
    </row>
    <row r="28">
      <c r="A28" t="inlineStr">
        <is>
          <t>Valor Total em Estoque (Custo):</t>
        </is>
      </c>
      <c r="B28" s="8">
        <f>SUMPRODUCT(F4:F23,I4:I23)</f>
        <v/>
      </c>
    </row>
  </sheetData>
  <autoFilter ref="A3:M23"/>
  <mergeCells count="1">
    <mergeCell ref="A1:M1"/>
  </mergeCells>
  <conditionalFormatting sqref="H4:H23">
    <cfRule type="cellIs" priority="1" operator="equal" dxfId="0">
      <formula>"⚠ REPOR"</formula>
    </cfRule>
    <cfRule type="cellIs" priority="2" operator="equal" dxfId="1">
      <formula>"ATENÇÃO"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I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1" t="inlineStr">
        <is>
          <t>REGISTRO DE MOVIMENTAÇÕES</t>
        </is>
      </c>
    </row>
    <row r="3">
      <c r="A3" s="2" t="inlineStr">
        <is>
          <t>Data</t>
        </is>
      </c>
      <c r="B3" s="2" t="inlineStr">
        <is>
          <t>Código Produto</t>
        </is>
      </c>
      <c r="C3" s="2" t="inlineStr">
        <is>
          <t>Produto</t>
        </is>
      </c>
      <c r="D3" s="2" t="inlineStr">
        <is>
          <t>Tipo (Entrada/Saída)</t>
        </is>
      </c>
      <c r="E3" s="2" t="inlineStr">
        <is>
          <t>Quantidade</t>
        </is>
      </c>
      <c r="F3" s="2" t="inlineStr">
        <is>
          <t>Motivo</t>
        </is>
      </c>
      <c r="G3" s="2" t="inlineStr">
        <is>
          <t>Responsável</t>
        </is>
      </c>
      <c r="H3" s="2" t="inlineStr">
        <is>
          <t>Nº Nota Fiscal</t>
        </is>
      </c>
      <c r="I3" s="2" t="inlineStr">
        <is>
          <t>Observações</t>
        </is>
      </c>
    </row>
    <row r="4">
      <c r="A4" s="3" t="inlineStr">
        <is>
          <t>2026-03-25</t>
        </is>
      </c>
      <c r="B4" s="3" t="inlineStr">
        <is>
          <t>P001</t>
        </is>
      </c>
      <c r="C4" s="3" t="inlineStr">
        <is>
          <t>Shampoo Profissional 1L</t>
        </is>
      </c>
      <c r="D4" s="3" t="inlineStr">
        <is>
          <t>Entrada</t>
        </is>
      </c>
      <c r="E4" s="3" t="n">
        <v>10</v>
      </c>
      <c r="F4" s="3" t="inlineStr">
        <is>
          <t>Compra</t>
        </is>
      </c>
      <c r="G4" s="3" t="inlineStr">
        <is>
          <t>Maria</t>
        </is>
      </c>
      <c r="H4" s="3" t="inlineStr">
        <is>
          <t>NF-4521</t>
        </is>
      </c>
      <c r="I4" s="3" t="inlineStr"/>
    </row>
    <row r="5">
      <c r="A5" s="5" t="inlineStr">
        <is>
          <t>2026-03-25</t>
        </is>
      </c>
      <c r="B5" s="5" t="inlineStr">
        <is>
          <t>P004</t>
        </is>
      </c>
      <c r="C5" s="5" t="inlineStr">
        <is>
          <t>Tintura Creme</t>
        </is>
      </c>
      <c r="D5" s="5" t="inlineStr">
        <is>
          <t>Entrada</t>
        </is>
      </c>
      <c r="E5" s="5" t="n">
        <v>20</v>
      </c>
      <c r="F5" s="5" t="inlineStr">
        <is>
          <t>Compra</t>
        </is>
      </c>
      <c r="G5" s="5" t="inlineStr">
        <is>
          <t>Maria</t>
        </is>
      </c>
      <c r="H5" s="5" t="inlineStr">
        <is>
          <t>NF-4522</t>
        </is>
      </c>
      <c r="I5" s="5" t="inlineStr"/>
    </row>
    <row r="6">
      <c r="A6" s="3" t="inlineStr">
        <is>
          <t>2026-03-26</t>
        </is>
      </c>
      <c r="B6" s="3" t="inlineStr">
        <is>
          <t>P001</t>
        </is>
      </c>
      <c r="C6" s="3" t="inlineStr">
        <is>
          <t>Shampoo Profissional 1L</t>
        </is>
      </c>
      <c r="D6" s="3" t="inlineStr">
        <is>
          <t>Saída</t>
        </is>
      </c>
      <c r="E6" s="3" t="n">
        <v>2</v>
      </c>
      <c r="F6" s="3" t="inlineStr">
        <is>
          <t>Uso interno</t>
        </is>
      </c>
      <c r="G6" s="3" t="inlineStr">
        <is>
          <t>Ana</t>
        </is>
      </c>
      <c r="H6" s="3" t="inlineStr"/>
      <c r="I6" s="3" t="inlineStr">
        <is>
          <t>Cliente VIP</t>
        </is>
      </c>
    </row>
    <row r="7">
      <c r="A7" s="5" t="inlineStr">
        <is>
          <t>2026-03-26</t>
        </is>
      </c>
      <c r="B7" s="5" t="inlineStr">
        <is>
          <t>P009</t>
        </is>
      </c>
      <c r="C7" s="5" t="inlineStr">
        <is>
          <t>Esmalte</t>
        </is>
      </c>
      <c r="D7" s="5" t="inlineStr">
        <is>
          <t>Saída</t>
        </is>
      </c>
      <c r="E7" s="5" t="n">
        <v>3</v>
      </c>
      <c r="F7" s="5" t="inlineStr">
        <is>
          <t>Uso interno</t>
        </is>
      </c>
      <c r="G7" s="5" t="inlineStr">
        <is>
          <t>Juliana</t>
        </is>
      </c>
      <c r="H7" s="5" t="inlineStr"/>
      <c r="I7" s="5" t="inlineStr"/>
    </row>
    <row r="8">
      <c r="A8" s="3" t="inlineStr">
        <is>
          <t>2026-03-27</t>
        </is>
      </c>
      <c r="B8" s="3" t="inlineStr">
        <is>
          <t>P007</t>
        </is>
      </c>
      <c r="C8" s="3" t="inlineStr">
        <is>
          <t>Óleo Reparador 100ml</t>
        </is>
      </c>
      <c r="D8" s="3" t="inlineStr">
        <is>
          <t>Saída</t>
        </is>
      </c>
      <c r="E8" s="3" t="n">
        <v>1</v>
      </c>
      <c r="F8" s="3" t="inlineStr">
        <is>
          <t>Venda direta</t>
        </is>
      </c>
      <c r="G8" s="3" t="inlineStr">
        <is>
          <t>Ana</t>
        </is>
      </c>
      <c r="H8" s="3" t="inlineStr"/>
      <c r="I8" s="3" t="inlineStr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</sheetData>
  <autoFilter ref="A3:I3"/>
  <mergeCells count="1">
    <mergeCell ref="A1:I1"/>
  </mergeCells>
  <conditionalFormatting sqref="D4:D200">
    <cfRule type="cellIs" priority="1" operator="equal" dxfId="3">
      <formula>"Entrada"</formula>
    </cfRule>
    <cfRule type="cellIs" priority="2" operator="equal" dxfId="4">
      <formula>"Saída"</formula>
    </cfRule>
  </conditionalFormatting>
  <dataValidations count="2">
    <dataValidation sqref="D4:D500" showDropDown="0" showInputMessage="0" showErrorMessage="0" allowBlank="1" promptTitle="Tipo de Movimentação" prompt="Selecione o tipo" type="list">
      <formula1>"Entrada,Saída"</formula1>
    </dataValidation>
    <dataValidation sqref="F4:F500" showDropDown="0" showInputMessage="0" showErrorMessage="0" allowBlank="1" type="list">
      <formula1>"Compra,Uso interno,Venda direta,Devolução,Perda/Avaria,Amostra"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30" customWidth="1" min="6" max="6"/>
    <col width="18" customWidth="1" min="7" max="7"/>
    <col width="18" customWidth="1" min="8" max="8"/>
  </cols>
  <sheetData>
    <row r="1" ht="40" customHeight="1">
      <c r="A1" s="1" t="inlineStr">
        <is>
          <t>CADASTRO DE FORNECEDORES</t>
        </is>
      </c>
    </row>
    <row r="3">
      <c r="A3" s="2" t="inlineStr">
        <is>
          <t>Código</t>
        </is>
      </c>
      <c r="B3" s="2" t="inlineStr">
        <is>
          <t>Fornecedor</t>
        </is>
      </c>
      <c r="C3" s="2" t="inlineStr">
        <is>
          <t>CNPJ</t>
        </is>
      </c>
      <c r="D3" s="2" t="inlineStr">
        <is>
          <t>Contato</t>
        </is>
      </c>
      <c r="E3" s="2" t="inlineStr">
        <is>
          <t>Telefone</t>
        </is>
      </c>
      <c r="F3" s="2" t="inlineStr">
        <is>
          <t>E-mail</t>
        </is>
      </c>
      <c r="G3" s="2" t="inlineStr">
        <is>
          <t>Categorias</t>
        </is>
      </c>
      <c r="H3" s="2" t="inlineStr">
        <is>
          <t>Prazo Entrega (dias)</t>
        </is>
      </c>
    </row>
    <row r="4">
      <c r="A4" s="3" t="inlineStr">
        <is>
          <t>F001</t>
        </is>
      </c>
      <c r="B4" s="3" t="inlineStr">
        <is>
          <t>Dist. Beauty</t>
        </is>
      </c>
      <c r="C4" s="3" t="inlineStr">
        <is>
          <t>12.345.678/0001-99</t>
        </is>
      </c>
      <c r="D4" s="3" t="inlineStr">
        <is>
          <t>Carlos</t>
        </is>
      </c>
      <c r="E4" s="3" t="inlineStr">
        <is>
          <t>(11) 99999-1111</t>
        </is>
      </c>
      <c r="F4" s="3" t="inlineStr">
        <is>
          <t>contato@distbeauty.com</t>
        </is>
      </c>
      <c r="G4" s="3" t="inlineStr">
        <is>
          <t>Cabelo, Pele</t>
        </is>
      </c>
      <c r="H4" s="3" t="n">
        <v>5</v>
      </c>
    </row>
    <row r="5">
      <c r="A5" s="5" t="inlineStr">
        <is>
          <t>F002</t>
        </is>
      </c>
      <c r="B5" s="5" t="inlineStr">
        <is>
          <t>Color Supply</t>
        </is>
      </c>
      <c r="C5" s="5" t="inlineStr">
        <is>
          <t>23.456.789/0001-88</t>
        </is>
      </c>
      <c r="D5" s="5" t="inlineStr">
        <is>
          <t>Fernanda</t>
        </is>
      </c>
      <c r="E5" s="5" t="inlineStr">
        <is>
          <t>(11) 98888-2222</t>
        </is>
      </c>
      <c r="F5" s="5" t="inlineStr">
        <is>
          <t>vendas@colorsupply.com</t>
        </is>
      </c>
      <c r="G5" s="5" t="inlineStr">
        <is>
          <t>Cabelo (Coloração)</t>
        </is>
      </c>
      <c r="H5" s="5" t="n">
        <v>3</v>
      </c>
    </row>
    <row r="6">
      <c r="A6" s="3" t="inlineStr">
        <is>
          <t>F003</t>
        </is>
      </c>
      <c r="B6" s="3" t="inlineStr">
        <is>
          <t>Beleza Total</t>
        </is>
      </c>
      <c r="C6" s="3" t="inlineStr">
        <is>
          <t>34.567.890/0001-77</t>
        </is>
      </c>
      <c r="D6" s="3" t="inlineStr">
        <is>
          <t>Roberto</t>
        </is>
      </c>
      <c r="E6" s="3" t="inlineStr">
        <is>
          <t>(11) 97777-3333</t>
        </is>
      </c>
      <c r="F6" s="3" t="inlineStr">
        <is>
          <t>pedidos@belezatotal.com</t>
        </is>
      </c>
      <c r="G6" s="3" t="inlineStr">
        <is>
          <t>Unha, Descartáveis</t>
        </is>
      </c>
      <c r="H6" s="3" t="n">
        <v>7</v>
      </c>
    </row>
    <row r="7">
      <c r="A7" s="5" t="inlineStr">
        <is>
          <t>F004</t>
        </is>
      </c>
      <c r="B7" s="5" t="inlineStr">
        <is>
          <t>Estética Plus</t>
        </is>
      </c>
      <c r="C7" s="5" t="inlineStr">
        <is>
          <t>45.678.901/0001-66</t>
        </is>
      </c>
      <c r="D7" s="5" t="inlineStr">
        <is>
          <t>Luciana</t>
        </is>
      </c>
      <c r="E7" s="5" t="inlineStr">
        <is>
          <t>(11) 96666-4444</t>
        </is>
      </c>
      <c r="F7" s="5" t="inlineStr">
        <is>
          <t>comercial@esteticaplus.com</t>
        </is>
      </c>
      <c r="G7" s="5" t="inlineStr">
        <is>
          <t>Pele/Estética</t>
        </is>
      </c>
      <c r="H7" s="5" t="n">
        <v>4</v>
      </c>
    </row>
    <row r="8">
      <c r="A8" s="3" t="inlineStr">
        <is>
          <t>F005</t>
        </is>
      </c>
      <c r="B8" s="3" t="inlineStr">
        <is>
          <t>Higiene Pro</t>
        </is>
      </c>
      <c r="C8" s="3" t="inlineStr">
        <is>
          <t>56.789.012/0001-55</t>
        </is>
      </c>
      <c r="D8" s="3" t="inlineStr">
        <is>
          <t>André</t>
        </is>
      </c>
      <c r="E8" s="3" t="inlineStr">
        <is>
          <t>(11) 95555-5555</t>
        </is>
      </c>
      <c r="F8" s="3" t="inlineStr">
        <is>
          <t>vendas@higienepro.com</t>
        </is>
      </c>
      <c r="G8" s="3" t="inlineStr">
        <is>
          <t>Descartáveis</t>
        </is>
      </c>
      <c r="H8" s="3" t="n">
        <v>2</v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LISTA DE COMPRAS PENDENTES</t>
        </is>
      </c>
    </row>
    <row r="3">
      <c r="A3" s="2" t="inlineStr">
        <is>
          <t>Data Pedido</t>
        </is>
      </c>
      <c r="B3" s="2" t="inlineStr">
        <is>
          <t>Código Produto</t>
        </is>
      </c>
      <c r="C3" s="2" t="inlineStr">
        <is>
          <t>Produto</t>
        </is>
      </c>
      <c r="D3" s="2" t="inlineStr">
        <is>
          <t>Qtd. a Comprar</t>
        </is>
      </c>
      <c r="E3" s="2" t="inlineStr">
        <is>
          <t>Fornecedor</t>
        </is>
      </c>
      <c r="F3" s="2" t="inlineStr">
        <is>
          <t>Preço Estimado (R$)</t>
        </is>
      </c>
      <c r="G3" s="2" t="inlineStr">
        <is>
          <t>Status</t>
        </is>
      </c>
      <c r="H3" s="2" t="inlineStr">
        <is>
          <t>Data Recebimento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</sheetData>
  <mergeCells count="1">
    <mergeCell ref="A1:H1"/>
  </mergeCells>
  <conditionalFormatting sqref="G4:G200">
    <cfRule type="cellIs" priority="1" operator="equal" dxfId="1">
      <formula>"Pendente"</formula>
    </cfRule>
    <cfRule type="cellIs" priority="2" operator="equal" dxfId="2">
      <formula>"Recebido"</formula>
    </cfRule>
  </conditionalFormatting>
  <dataValidations count="1">
    <dataValidation sqref="G4:G500" showDropDown="0" showInputMessage="0" showErrorMessage="0" allowBlank="1" type="list">
      <formula1>"Pendente,Pedido Feito,Recebido,Cancelado"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</cols>
  <sheetData>
    <row r="1" ht="40" customHeight="1">
      <c r="A1" s="1" t="inlineStr">
        <is>
          <t>DASHBOARD — VISÃO GERAL DO ESTOQUE</t>
        </is>
      </c>
    </row>
    <row r="3">
      <c r="A3" s="9" t="inlineStr">
        <is>
          <t>Total de Produtos Cadastrados</t>
        </is>
      </c>
      <c r="B3" s="10">
        <f>COUNTA('Estoque de Produtos'!A4:A23)</f>
        <v/>
      </c>
    </row>
    <row r="4">
      <c r="A4" s="9" t="inlineStr">
        <is>
          <t>Produtos com Estoque OK</t>
        </is>
      </c>
      <c r="B4" s="10">
        <f>COUNTIF('Estoque de Produtos'!H4:H23,"OK")</f>
        <v/>
      </c>
    </row>
    <row r="5">
      <c r="A5" s="9" t="inlineStr">
        <is>
          <t>Produtos em ATENÇÃO</t>
        </is>
      </c>
      <c r="B5" s="10">
        <f>COUNTIF('Estoque de Produtos'!H4:H23,"ATENÇÃO")</f>
        <v/>
      </c>
    </row>
    <row r="6">
      <c r="A6" s="9" t="inlineStr">
        <is>
          <t>Produtos para REPOR</t>
        </is>
      </c>
      <c r="B6" s="10">
        <f>COUNTIF('Estoque de Produtos'!H4:H23,"⚠ REPOR")</f>
        <v/>
      </c>
    </row>
    <row r="7">
      <c r="A7" s="9" t="inlineStr">
        <is>
          <t>Valor Total Estoque (Custo)</t>
        </is>
      </c>
      <c r="B7" s="11">
        <f>SUMPRODUCT('Estoque de Produtos'!F4:F23,'Estoque de Produtos'!I4:I23)</f>
        <v/>
      </c>
    </row>
    <row r="8">
      <c r="A8" s="9" t="inlineStr">
        <is>
          <t>Valor Total Estoque (Venda)</t>
        </is>
      </c>
      <c r="B8" s="11">
        <f>SUMPRODUCT('Estoque de Produtos'!F4:F23,'Estoque de Produtos'!J4:J23)</f>
        <v/>
      </c>
    </row>
    <row r="9">
      <c r="A9" s="9" t="inlineStr">
        <is>
          <t>Fornecedores Cadastrados</t>
        </is>
      </c>
      <c r="B9" s="10">
        <f>COUNTA(Fornecedores!A4:A100)</f>
        <v/>
      </c>
    </row>
    <row r="10">
      <c r="A10" s="9" t="inlineStr">
        <is>
          <t>Entradas no Período</t>
        </is>
      </c>
      <c r="B10" s="10">
        <f>COUNTIF(Movimentações!D4:D500,"Entrada")</f>
        <v/>
      </c>
    </row>
    <row r="11">
      <c r="A11" s="9" t="inlineStr">
        <is>
          <t>Saídas no Período</t>
        </is>
      </c>
      <c r="B11" s="10">
        <f>COUNTIF(Movimentações!D4:D500,"Saída")</f>
        <v/>
      </c>
    </row>
    <row r="14">
      <c r="A14" s="7" t="inlineStr">
        <is>
          <t>RESUMO POR CATEGORIA</t>
        </is>
      </c>
    </row>
    <row r="15">
      <c r="A15" s="2" t="inlineStr">
        <is>
          <t>Categoria</t>
        </is>
      </c>
      <c r="B15" s="2" t="inlineStr">
        <is>
          <t>Qtd. Produtos</t>
        </is>
      </c>
      <c r="C15" s="2" t="inlineStr">
        <is>
          <t>Valor Estoque (Custo)</t>
        </is>
      </c>
    </row>
    <row r="16">
      <c r="A16" s="12" t="inlineStr">
        <is>
          <t>Cabelo</t>
        </is>
      </c>
      <c r="B16" s="3">
        <f>COUNTIF('Estoque de Produtos'!C4:C23,"Cabelo")</f>
        <v/>
      </c>
      <c r="C16" s="13">
        <f>SUMPRODUCT(('Estoque de Produtos'!C4:C23="Cabelo")*'Estoque de Produtos'!F4:F23*'Estoque de Produtos'!I4:I23)</f>
        <v/>
      </c>
    </row>
    <row r="17">
      <c r="A17" s="12" t="inlineStr">
        <is>
          <t>Unha</t>
        </is>
      </c>
      <c r="B17" s="3">
        <f>COUNTIF('Estoque de Produtos'!C4:C23,"Unha")</f>
        <v/>
      </c>
      <c r="C17" s="13">
        <f>SUMPRODUCT(('Estoque de Produtos'!C4:C23="Unha")*'Estoque de Produtos'!F4:F23*'Estoque de Produtos'!I4:I23)</f>
        <v/>
      </c>
    </row>
    <row r="18">
      <c r="A18" s="12" t="inlineStr">
        <is>
          <t>Pele/Estética</t>
        </is>
      </c>
      <c r="B18" s="3">
        <f>COUNTIF('Estoque de Produtos'!C4:C23,"Pele/Estética")</f>
        <v/>
      </c>
      <c r="C18" s="13">
        <f>SUMPRODUCT(('Estoque de Produtos'!C4:C23="Pele/Estética")*'Estoque de Produtos'!F4:F23*'Estoque de Produtos'!I4:I23)</f>
        <v/>
      </c>
    </row>
    <row r="19">
      <c r="A19" s="12" t="inlineStr">
        <is>
          <t>Descartáveis</t>
        </is>
      </c>
      <c r="B19" s="3">
        <f>COUNTIF('Estoque de Produtos'!C4:C23,"Descartáveis")</f>
        <v/>
      </c>
      <c r="C19" s="13">
        <f>SUMPRODUCT(('Estoque de Produtos'!C4:C23="Descartáveis")*'Estoque de Produtos'!F4:F23*'Estoque de Produtos'!I4:I23)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2026-03-28T02:43:36Z</dcterms:created>
  <dcterms:modified xsi:type="dcterms:W3CDTF">2026-03-28T02:43:36Z</dcterms:modified>
</cp:coreProperties>
</file>